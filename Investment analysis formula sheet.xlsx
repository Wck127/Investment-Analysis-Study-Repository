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<sst xmlns="http://schemas.openxmlformats.org/spreadsheetml/2006/main" count="15" uniqueCount="15">
  <si>
    <t xml:space="preserve">Finance Formula list </t>
  </si>
  <si>
    <t xml:space="preserve">Formula </t>
  </si>
  <si>
    <t xml:space="preserve">1. Holding Period Return </t>
  </si>
  <si>
    <t>2. Multi-Period Discrete Return (3 yrs)</t>
  </si>
  <si>
    <t>3. Arithmetic Mean Return</t>
  </si>
  <si>
    <t>4. Geometric Mean Return</t>
  </si>
  <si>
    <t>5. Harmonic Mean</t>
  </si>
  <si>
    <t>6. IRR</t>
  </si>
  <si>
    <t>7. Time-Weighted Return (TWR)</t>
  </si>
  <si>
    <t>8. Non-Annual Compounding</t>
  </si>
  <si>
    <t>9. Annualizing Total Return</t>
  </si>
  <si>
    <t>10. Weekly → Annualized</t>
  </si>
  <si>
    <t>11. Continuous One-Period Return</t>
  </si>
  <si>
    <t>12. ontinuous Multi-Period Return</t>
  </si>
  <si>
    <t>13. Real Rate of Return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</si>
</sst>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5.0"/>
      <color theme="1"/>
      <name val="Arial"/>
      <scheme val="minor"/>
    </font>
    <font>
      <color theme="1"/>
      <name val="Arial"/>
      <scheme val="minor"/>
    </font>
    <font>
      <b/>
      <i/>
      <sz val="18.0"/>
      <color theme="1"/>
      <name val="Arial"/>
      <scheme val="minor"/>
    </font>
    <font>
      <b/>
      <sz val="14.0"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6D9EEB"/>
        <bgColor rgb="FF6D9EEB"/>
      </patternFill>
    </fill>
    <fill>
      <patternFill patternType="solid">
        <fgColor rgb="FFCFE2F3"/>
        <bgColor rgb="FFCFE2F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10" xfId="0" applyFont="1" applyNumberFormat="1"/>
    <xf borderId="1" fillId="2" fontId="3" numFmtId="0" xfId="0" applyAlignment="1" applyBorder="1" applyFill="1" applyFont="1">
      <alignment readingOrder="0"/>
    </xf>
    <xf borderId="0" fillId="0" fontId="2" numFmtId="9" xfId="0" applyAlignment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3" fontId="2" numFmtId="10" xfId="0" applyBorder="1" applyFont="1" applyNumberFormat="1"/>
    <xf borderId="0" fillId="0" fontId="2" numFmtId="10" xfId="0" applyAlignment="1" applyFont="1" applyNumberFormat="1">
      <alignment readingOrder="0"/>
    </xf>
    <xf borderId="1" fillId="3" fontId="2" numFmtId="0" xfId="0" applyBorder="1" applyFont="1"/>
    <xf borderId="1" fillId="3" fontId="2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75"/>
    <col customWidth="1" min="2" max="2" width="13.63"/>
    <col customWidth="1" min="6" max="6" width="45.75"/>
    <col customWidth="1" min="7" max="7" width="13.63"/>
  </cols>
  <sheetData>
    <row r="1">
      <c r="A1" s="1"/>
      <c r="B1" s="2"/>
    </row>
    <row r="2">
      <c r="A2" s="3" t="s">
        <v>0</v>
      </c>
      <c r="B2" s="3" t="s">
        <v>1</v>
      </c>
      <c r="H2" s="4"/>
    </row>
    <row r="3">
      <c r="A3" s="5" t="s">
        <v>2</v>
      </c>
      <c r="B3" s="6" t="str">
        <f>(E4-D4+F4)/D4</f>
        <v>#DIV/0!</v>
      </c>
      <c r="H3" s="7"/>
    </row>
    <row r="4">
      <c r="A4" s="5" t="s">
        <v>3</v>
      </c>
      <c r="B4" s="8">
        <f>PRODUCT(1+H4:H6)-1</f>
        <v>0</v>
      </c>
      <c r="H4" s="4"/>
    </row>
    <row r="5">
      <c r="A5" s="5" t="s">
        <v>4</v>
      </c>
      <c r="B5" s="9" t="str">
        <f>AVERAGE(J4:J13)</f>
        <v>#DIV/0!</v>
      </c>
    </row>
    <row r="6">
      <c r="A6" s="5" t="s">
        <v>5</v>
      </c>
      <c r="B6" s="8" t="str">
        <f>PRODUCT(1+L4:L13)^(1/COUNT(L4:L13))-1</f>
        <v>#DIV/0!</v>
      </c>
    </row>
    <row r="7">
      <c r="A7" s="5" t="s">
        <v>6</v>
      </c>
      <c r="B7" s="8" t="str">
        <f>COUNT(N4:N13)/SUMPRODUCT(1/N4:N13)</f>
        <v>#DIV/0!</v>
      </c>
    </row>
    <row r="8">
      <c r="A8" s="5" t="s">
        <v>7</v>
      </c>
      <c r="B8" s="8" t="str">
        <f>IRR(P4:P10)</f>
        <v>#NUM!</v>
      </c>
    </row>
    <row r="9">
      <c r="A9" s="5" t="s">
        <v>8</v>
      </c>
      <c r="B9" s="8">
        <f>PRODUCT(1+R4:R13)-1</f>
        <v>0</v>
      </c>
    </row>
    <row r="10">
      <c r="A10" s="5" t="s">
        <v>9</v>
      </c>
      <c r="B10" s="8" t="str">
        <f>T4*(1+U4/V4)^(V4*W4)</f>
        <v>#DIV/0!</v>
      </c>
    </row>
    <row r="11">
      <c r="A11" s="5" t="s">
        <v>10</v>
      </c>
      <c r="B11" s="8" t="str">
        <f>(1+Y4)^(1/Z4)-1</f>
        <v>#DIV/0!</v>
      </c>
    </row>
    <row r="12">
      <c r="A12" s="5" t="s">
        <v>11</v>
      </c>
      <c r="B12" s="8">
        <f>(1+AB4)^52-1</f>
        <v>0</v>
      </c>
    </row>
    <row r="13">
      <c r="A13" s="5" t="s">
        <v>12</v>
      </c>
      <c r="B13" s="8" t="str">
        <f>LN(AD4/AC4)</f>
        <v>#DIV/0!</v>
      </c>
    </row>
    <row r="14">
      <c r="A14" s="5" t="s">
        <v>13</v>
      </c>
      <c r="B14" s="8" t="str">
        <f>LN(AF4/AE4)</f>
        <v>#DIV/0!</v>
      </c>
    </row>
    <row r="15">
      <c r="A15" s="5" t="s">
        <v>14</v>
      </c>
      <c r="B15" s="8">
        <f>(1+AH4)/(1+AI4)-1</f>
        <v>0</v>
      </c>
    </row>
  </sheetData>
  <drawing r:id="rId1"/>
</worksheet>
</file>